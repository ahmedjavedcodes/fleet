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  <sheet name="Vehicles" sheetId="2" state="visible" r:id="rId4"/>
    <sheet name="Drivers" sheetId="3" state="visible" r:id="rId5"/>
    <sheet name="Suppliers" sheetId="4" state="visible" r:id="rId6"/>
    <sheet name="Assignments" sheetId="5" state="visible" r:id="rId7"/>
    <sheet name="Trips" sheetId="6" state="visible" r:id="rId8"/>
    <sheet name="Fuel Logs" sheetId="7" state="visible" r:id="rId9"/>
    <sheet name="Maintenance Logs" sheetId="8" state="visible" r:id="rId10"/>
    <sheet name="Incidents" sheetId="9" state="visible" r:id="rId11"/>
  </sheets>
  <definedNames>
    <definedName function="false" hidden="true" localSheetId="4" name="_xlnm._FilterDatabase" vbProcedure="false">Assignments!$A$1:$F$4</definedName>
    <definedName function="false" hidden="true" localSheetId="2" name="_xlnm._FilterDatabase" vbProcedure="false">Drivers!$A$1:$F$6</definedName>
    <definedName function="false" hidden="true" localSheetId="6" name="_xlnm._FilterDatabase" vbProcedure="false">'Fuel Logs'!$A$1:$J$2</definedName>
    <definedName function="false" hidden="true" localSheetId="8" name="_xlnm._FilterDatabase" vbProcedure="false">Incidents!$A$1:$I$2</definedName>
    <definedName function="false" hidden="true" localSheetId="7" name="_xlnm._FilterDatabase" vbProcedure="false">'Maintenance Logs'!$A$1:$G$2</definedName>
    <definedName function="false" hidden="true" localSheetId="3" name="_xlnm._FilterDatabase" vbProcedure="false">Suppliers!$A$1:$D$4</definedName>
    <definedName function="false" hidden="true" localSheetId="5" name="_xlnm._FilterDatabase" vbProcedure="false">Trips!$A$1:$I$2</definedName>
    <definedName function="false" hidden="true" localSheetId="0" name="_xlnm._FilterDatabase" vbProcedure="false">Users!$A$1:$E$9</definedName>
    <definedName function="false" hidden="true" localSheetId="1" name="_xlnm._FilterDatabase" vbProcedure="false">Vehicles!$A$1:$J$11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<sst xmlns="http://schemas.openxmlformats.org/spreadsheetml/2006/main" count="241" uniqueCount="178">
  <si>
    <t xml:space="preserve">Role</t>
  </si>
  <si>
    <t xml:space="preserve">Name</t>
  </si>
  <si>
    <t xml:space="preserve">Email / Login</t>
  </si>
  <si>
    <t xml:space="preserve">Password (test only)</t>
  </si>
  <si>
    <t xml:space="preserve">Linked Driver License No</t>
  </si>
  <si>
    <t xml:space="preserve">Admin</t>
  </si>
  <si>
    <t xml:space="preserve">Admin User</t>
  </si>
  <si>
    <t xml:space="preserve">admin@fleetops.com</t>
  </si>
  <si>
    <t xml:space="preserve">Admin@12345</t>
  </si>
  <si>
    <t xml:space="preserve">Fleet Manager</t>
  </si>
  <si>
    <t xml:space="preserve">FM One</t>
  </si>
  <si>
    <t xml:space="preserve">fm1@fleetops.com</t>
  </si>
  <si>
    <t xml:space="preserve">FmOne@12345</t>
  </si>
  <si>
    <t xml:space="preserve">FM Two</t>
  </si>
  <si>
    <t xml:space="preserve">fm2@fleetops.com</t>
  </si>
  <si>
    <t xml:space="preserve">FmTwo@12345</t>
  </si>
  <si>
    <t xml:space="preserve">Driver</t>
  </si>
  <si>
    <t xml:space="preserve">Ali Khan</t>
  </si>
  <si>
    <t xml:space="preserve">driver1@fleetops.com</t>
  </si>
  <si>
    <t xml:space="preserve">Driver1@12345</t>
  </si>
  <si>
    <t xml:space="preserve">DL-PK-1001</t>
  </si>
  <si>
    <t xml:space="preserve">Bilal Ahmed</t>
  </si>
  <si>
    <t xml:space="preserve">driver2@fleetops.com</t>
  </si>
  <si>
    <t xml:space="preserve">Driver2@12345</t>
  </si>
  <si>
    <t xml:space="preserve">DL-PK-1002</t>
  </si>
  <si>
    <t xml:space="preserve">Omer Farooq</t>
  </si>
  <si>
    <t xml:space="preserve">driver3@fleetops.com</t>
  </si>
  <si>
    <t xml:space="preserve">Driver3@12345</t>
  </si>
  <si>
    <t xml:space="preserve">DL-PK-1003</t>
  </si>
  <si>
    <t xml:space="preserve">Saad Tariq</t>
  </si>
  <si>
    <t xml:space="preserve">driver4@fleetops.com</t>
  </si>
  <si>
    <t xml:space="preserve">Driver4@12345</t>
  </si>
  <si>
    <t xml:space="preserve">DL-PK-1004</t>
  </si>
  <si>
    <t xml:space="preserve">Usman Raza</t>
  </si>
  <si>
    <t xml:space="preserve">driver5@fleetops.com</t>
  </si>
  <si>
    <t xml:space="preserve">Driver5@12345</t>
  </si>
  <si>
    <t xml:space="preserve">DL-PK-1005</t>
  </si>
  <si>
    <t xml:space="preserve">TEST DATA ONLY: passwords are plaintext for seeding. Hash them (bcrypt/argon2) in your seed script before inserting into the DB; never store plaintext.</t>
  </si>
  <si>
    <t xml:space="preserve">Plate</t>
  </si>
  <si>
    <t xml:space="preserve">Make</t>
  </si>
  <si>
    <t xml:space="preserve">Model</t>
  </si>
  <si>
    <t xml:space="preserve">Year</t>
  </si>
  <si>
    <t xml:space="preserve">VIN / Chassis No</t>
  </si>
  <si>
    <t xml:space="preserve">Engine No</t>
  </si>
  <si>
    <t xml:space="preserve">Ownership Type</t>
  </si>
  <si>
    <t xml:space="preserve">Fuel Type</t>
  </si>
  <si>
    <t xml:space="preserve">Odometer (km)</t>
  </si>
  <si>
    <t xml:space="preserve">Make &amp; Model</t>
  </si>
  <si>
    <t xml:space="preserve">AB-1234</t>
  </si>
  <si>
    <t xml:space="preserve">Toyota</t>
  </si>
  <si>
    <t xml:space="preserve">Hilux</t>
  </si>
  <si>
    <t xml:space="preserve">CHS-99887766</t>
  </si>
  <si>
    <t xml:space="preserve">ENG-112233</t>
  </si>
  <si>
    <t xml:space="preserve">owner</t>
  </si>
  <si>
    <t xml:space="preserve">Diesel</t>
  </si>
  <si>
    <t xml:space="preserve">CD-5678</t>
  </si>
  <si>
    <t xml:space="preserve">Ford</t>
  </si>
  <si>
    <t xml:space="preserve">Transit</t>
  </si>
  <si>
    <t xml:space="preserve">CHS-55443322</t>
  </si>
  <si>
    <t xml:space="preserve">ENG-445566</t>
  </si>
  <si>
    <t xml:space="preserve">leasing</t>
  </si>
  <si>
    <t xml:space="preserve">EF-9012</t>
  </si>
  <si>
    <t xml:space="preserve">Mercedes</t>
  </si>
  <si>
    <t xml:space="preserve">Sprinter</t>
  </si>
  <si>
    <t xml:space="preserve">CHS-11223344</t>
  </si>
  <si>
    <t xml:space="preserve">ENG-778899</t>
  </si>
  <si>
    <t xml:space="preserve">rent</t>
  </si>
  <si>
    <t xml:space="preserve">GH-3456</t>
  </si>
  <si>
    <t xml:space="preserve">Isuzu</t>
  </si>
  <si>
    <t xml:space="preserve">D-Max</t>
  </si>
  <si>
    <t xml:space="preserve">CHS-AABBCCDD</t>
  </si>
  <si>
    <t xml:space="preserve">ENG-990011</t>
  </si>
  <si>
    <t xml:space="preserve">IJ-7890</t>
  </si>
  <si>
    <t xml:space="preserve">Hiace</t>
  </si>
  <si>
    <t xml:space="preserve">CHS-XXYYZZ11</t>
  </si>
  <si>
    <t xml:space="preserve">ENG-334455</t>
  </si>
  <si>
    <t xml:space="preserve">Petrol</t>
  </si>
  <si>
    <t xml:space="preserve">KL-1234</t>
  </si>
  <si>
    <t xml:space="preserve">Suzuki</t>
  </si>
  <si>
    <t xml:space="preserve">Bolan</t>
  </si>
  <si>
    <t xml:space="preserve">CHS-QWERTY99</t>
  </si>
  <si>
    <t xml:space="preserve">ENG-667788</t>
  </si>
  <si>
    <t xml:space="preserve">MN-5678</t>
  </si>
  <si>
    <t xml:space="preserve">Honda</t>
  </si>
  <si>
    <t xml:space="preserve">BR-V</t>
  </si>
  <si>
    <t xml:space="preserve">CHS-POIUYT88</t>
  </si>
  <si>
    <t xml:space="preserve">ENG-221100</t>
  </si>
  <si>
    <t xml:space="preserve">OP-9012</t>
  </si>
  <si>
    <t xml:space="preserve">Nissan</t>
  </si>
  <si>
    <t xml:space="preserve">Navara</t>
  </si>
  <si>
    <t xml:space="preserve">CHS-LKJHGF77</t>
  </si>
  <si>
    <t xml:space="preserve">ENG-556677</t>
  </si>
  <si>
    <t xml:space="preserve">QR-3456</t>
  </si>
  <si>
    <t xml:space="preserve">Changan</t>
  </si>
  <si>
    <t xml:space="preserve">Karvaan</t>
  </si>
  <si>
    <t xml:space="preserve">CHS-MNBVCX66</t>
  </si>
  <si>
    <t xml:space="preserve">ENG-889900</t>
  </si>
  <si>
    <t xml:space="preserve">ST-7890</t>
  </si>
  <si>
    <t xml:space="preserve">FAW</t>
  </si>
  <si>
    <t xml:space="preserve">X-PV</t>
  </si>
  <si>
    <t xml:space="preserve">CHS-ZXCVBN55</t>
  </si>
  <si>
    <t xml:space="preserve">ENG-112244</t>
  </si>
  <si>
    <t xml:space="preserve">Phone</t>
  </si>
  <si>
    <t xml:space="preserve">License No</t>
  </si>
  <si>
    <t xml:space="preserve">License Type</t>
  </si>
  <si>
    <t xml:space="preserve">License Issue Date</t>
  </si>
  <si>
    <t xml:space="preserve">License Current Status</t>
  </si>
  <si>
    <t xml:space="preserve">+92-300-1111111</t>
  </si>
  <si>
    <t xml:space="preserve">HTV</t>
  </si>
  <si>
    <t xml:space="preserve">Active</t>
  </si>
  <si>
    <t xml:space="preserve">+92-321-2222222</t>
  </si>
  <si>
    <t xml:space="preserve">LTV</t>
  </si>
  <si>
    <t xml:space="preserve">+92-333-3333333</t>
  </si>
  <si>
    <t xml:space="preserve">Renewal Pending</t>
  </si>
  <si>
    <t xml:space="preserve">+92-345-4444444</t>
  </si>
  <si>
    <t xml:space="preserve">+92-311-5555555</t>
  </si>
  <si>
    <t xml:space="preserve">Suspended</t>
  </si>
  <si>
    <t xml:space="preserve">No address column by design (address field must not appear in the Driver UI).</t>
  </si>
  <si>
    <t xml:space="preserve">Category</t>
  </si>
  <si>
    <t xml:space="preserve">Address</t>
  </si>
  <si>
    <t xml:space="preserve">Al-Futtaim Motors</t>
  </si>
  <si>
    <t xml:space="preserve">workshop</t>
  </si>
  <si>
    <t xml:space="preserve">123 Auto Market, Lahore</t>
  </si>
  <si>
    <t xml:space="preserve">+92-42-111222</t>
  </si>
  <si>
    <t xml:space="preserve">Michelin City</t>
  </si>
  <si>
    <t xml:space="preserve">tire_supplier</t>
  </si>
  <si>
    <t xml:space="preserve">45 Ring Road, Karachi</t>
  </si>
  <si>
    <t xml:space="preserve">+92-21-333444</t>
  </si>
  <si>
    <t xml:space="preserve">Global Auto Parts</t>
  </si>
  <si>
    <t xml:space="preserve">parts</t>
  </si>
  <si>
    <t xml:space="preserve">88 Industrial Area, Islamabad</t>
  </si>
  <si>
    <t xml:space="preserve">+92-51-555666</t>
  </si>
  <si>
    <t xml:space="preserve">Vehicle Plate</t>
  </si>
  <si>
    <t xml:space="preserve">Driver Name</t>
  </si>
  <si>
    <t xml:space="preserve">Start Date</t>
  </si>
  <si>
    <t xml:space="preserve">Start Odometer (km)</t>
  </si>
  <si>
    <t xml:space="preserve">Vehicle Make/Model</t>
  </si>
  <si>
    <t xml:space="preserve">Driver License No</t>
  </si>
  <si>
    <t xml:space="preserve">Start Time</t>
  </si>
  <si>
    <t xml:space="preserve">End Time</t>
  </si>
  <si>
    <t xml:space="preserve">End Odometer (km)</t>
  </si>
  <si>
    <t xml:space="preserve">Vehicle Name</t>
  </si>
  <si>
    <t xml:space="preserve">Distance (km)</t>
  </si>
  <si>
    <t xml:space="preserve">Duration (hrs)</t>
  </si>
  <si>
    <t xml:space="preserve">Slip ID</t>
  </si>
  <si>
    <t xml:space="preserve">PO Number</t>
  </si>
  <si>
    <t xml:space="preserve">Station Name</t>
  </si>
  <si>
    <t xml:space="preserve">Payment Method</t>
  </si>
  <si>
    <t xml:space="preserve">Card Used</t>
  </si>
  <si>
    <t xml:space="preserve">Liters</t>
  </si>
  <si>
    <t xml:space="preserve">Total Cost (PKR)</t>
  </si>
  <si>
    <t xml:space="preserve">Cost per Liter (PKR)</t>
  </si>
  <si>
    <t xml:space="preserve">SLP-99021</t>
  </si>
  <si>
    <t xml:space="preserve">PO-2026-A1</t>
  </si>
  <si>
    <t xml:space="preserve">Shell DHA Phase 5</t>
  </si>
  <si>
    <t xml:space="preserve">Corporate Card</t>
  </si>
  <si>
    <t xml:space="preserve">Visa ****4321</t>
  </si>
  <si>
    <t xml:space="preserve">Date</t>
  </si>
  <si>
    <t xml:space="preserve">Brought In By</t>
  </si>
  <si>
    <t xml:space="preserve">Supplier</t>
  </si>
  <si>
    <t xml:space="preserve">Service Scale</t>
  </si>
  <si>
    <t xml:space="preserve">Service Types (multi-select)</t>
  </si>
  <si>
    <t xml:space="preserve">Cost (PKR)</t>
  </si>
  <si>
    <t xml:space="preserve">Major</t>
  </si>
  <si>
    <t xml:space="preserve">Oil Change, Brake Inspection, Filter Replacement</t>
  </si>
  <si>
    <t xml:space="preserve">Service Types is a comma-separated multi-select; store as an array/JSON list in the DB. Scale values: minor / major.</t>
  </si>
  <si>
    <t xml:space="preserve">Incident Time</t>
  </si>
  <si>
    <t xml:space="preserve">Location Area</t>
  </si>
  <si>
    <t xml:space="preserve">Severity</t>
  </si>
  <si>
    <t xml:space="preserve">Type</t>
  </si>
  <si>
    <t xml:space="preserve">Remarks</t>
  </si>
  <si>
    <t xml:space="preserve">Attachment URL</t>
  </si>
  <si>
    <t xml:space="preserve">M2 Motorway, near Ravi Toll Plaza</t>
  </si>
  <si>
    <t xml:space="preserve">Medium</t>
  </si>
  <si>
    <t xml:space="preserve">Minor Collision</t>
  </si>
  <si>
    <t xml:space="preserve">Scraped the left bumper against a guardrail while avoiding debris.</t>
  </si>
  <si>
    <t xml:space="preserve">https://example.com/damage-photo.jpg</t>
  </si>
  <si>
    <t xml:space="preserve">Log in as Bilal (driver2@fleetops.com) to submit; driver_id should auto-attach from the session.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</si>
</sst>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yyyy\-mm\-dd"/>
    <numFmt numFmtId="167" formatCode="yyyy\-mm\-dd\ hh:mm"/>
    <numFmt numFmtId="168" formatCode="0.0"/>
    <numFmt numFmtId="169" formatCode="#,##0.0"/>
    <numFmt numFmtId="170" formatCode="#,##0.00"/>
    <numFmt numFmtId="171" formatCode="hh: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23"/>
    <col collapsed="false" customWidth="true" hidden="false" outlineLevel="0" max="5" min="5" style="0" width="27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2"/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11</v>
      </c>
      <c r="D3" s="3" t="s">
        <v>12</v>
      </c>
      <c r="E3" s="2"/>
    </row>
    <row r="4" customFormat="false" ht="15" hidden="false" customHeight="false" outlineLevel="0" collapsed="false">
      <c r="A4" s="2" t="s">
        <v>9</v>
      </c>
      <c r="B4" s="2" t="s">
        <v>13</v>
      </c>
      <c r="C4" s="2" t="s">
        <v>14</v>
      </c>
      <c r="D4" s="3" t="s">
        <v>15</v>
      </c>
      <c r="E4" s="2"/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3" t="s">
        <v>19</v>
      </c>
      <c r="E5" s="2" t="s">
        <v>20</v>
      </c>
    </row>
    <row r="6" customFormat="false" ht="15" hidden="false" customHeight="false" outlineLevel="0" collapsed="false">
      <c r="A6" s="2" t="s">
        <v>16</v>
      </c>
      <c r="B6" s="2" t="s">
        <v>21</v>
      </c>
      <c r="C6" s="2" t="s">
        <v>22</v>
      </c>
      <c r="D6" s="3" t="s">
        <v>23</v>
      </c>
      <c r="E6" s="2" t="s">
        <v>24</v>
      </c>
    </row>
    <row r="7" customFormat="false" ht="15" hidden="false" customHeight="false" outlineLevel="0" collapsed="false">
      <c r="A7" s="2" t="s">
        <v>16</v>
      </c>
      <c r="B7" s="2" t="s">
        <v>25</v>
      </c>
      <c r="C7" s="2" t="s">
        <v>26</v>
      </c>
      <c r="D7" s="3" t="s">
        <v>27</v>
      </c>
      <c r="E7" s="2" t="s">
        <v>28</v>
      </c>
    </row>
    <row r="8" customFormat="false" ht="15" hidden="false" customHeight="false" outlineLevel="0" collapsed="false">
      <c r="A8" s="2" t="s">
        <v>16</v>
      </c>
      <c r="B8" s="2" t="s">
        <v>29</v>
      </c>
      <c r="C8" s="2" t="s">
        <v>30</v>
      </c>
      <c r="D8" s="3" t="s">
        <v>31</v>
      </c>
      <c r="E8" s="2" t="s">
        <v>32</v>
      </c>
    </row>
    <row r="9" customFormat="false" ht="15" hidden="false" customHeight="false" outlineLevel="0" collapsed="false">
      <c r="A9" s="2" t="s">
        <v>16</v>
      </c>
      <c r="B9" s="2" t="s">
        <v>33</v>
      </c>
      <c r="C9" s="2" t="s">
        <v>34</v>
      </c>
      <c r="D9" s="3" t="s">
        <v>35</v>
      </c>
      <c r="E9" s="2" t="s">
        <v>36</v>
      </c>
    </row>
    <row r="11" customFormat="false" ht="15" hidden="false" customHeight="false" outlineLevel="0" collapsed="false">
      <c r="A11" s="4" t="s">
        <v>37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9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5" t="s">
        <v>47</v>
      </c>
    </row>
    <row r="2" customFormat="false" ht="15" hidden="false" customHeight="false" outlineLevel="0" collapsed="false">
      <c r="A2" s="2" t="s">
        <v>48</v>
      </c>
      <c r="B2" s="2" t="s">
        <v>49</v>
      </c>
      <c r="C2" s="2" t="s">
        <v>50</v>
      </c>
      <c r="D2" s="2" t="n">
        <v>2023</v>
      </c>
      <c r="E2" s="2" t="s">
        <v>51</v>
      </c>
      <c r="F2" s="2" t="s">
        <v>52</v>
      </c>
      <c r="G2" s="2" t="s">
        <v>53</v>
      </c>
      <c r="H2" s="2" t="s">
        <v>54</v>
      </c>
      <c r="I2" s="6" t="n">
        <v>45000</v>
      </c>
      <c r="J2" s="7" t="str">
        <f aca="false">B2&amp;" "&amp;C2</f>
        <v>Toyota Hilux</v>
      </c>
    </row>
    <row r="3" customFormat="false" ht="15" hidden="false" customHeight="false" outlineLevel="0" collapsed="false">
      <c r="A3" s="2" t="s">
        <v>55</v>
      </c>
      <c r="B3" s="2" t="s">
        <v>56</v>
      </c>
      <c r="C3" s="2" t="s">
        <v>57</v>
      </c>
      <c r="D3" s="2" t="n">
        <v>2022</v>
      </c>
      <c r="E3" s="2" t="s">
        <v>58</v>
      </c>
      <c r="F3" s="2" t="s">
        <v>59</v>
      </c>
      <c r="G3" s="2" t="s">
        <v>60</v>
      </c>
      <c r="H3" s="2" t="s">
        <v>54</v>
      </c>
      <c r="I3" s="6" t="n">
        <v>82100</v>
      </c>
      <c r="J3" s="7" t="str">
        <f aca="false">B3&amp;" "&amp;C3</f>
        <v>Ford Transit</v>
      </c>
    </row>
    <row r="4" customFormat="false" ht="15" hidden="false" customHeight="false" outlineLevel="0" collapsed="false">
      <c r="A4" s="2" t="s">
        <v>61</v>
      </c>
      <c r="B4" s="2" t="s">
        <v>62</v>
      </c>
      <c r="C4" s="2" t="s">
        <v>63</v>
      </c>
      <c r="D4" s="2" t="n">
        <v>2024</v>
      </c>
      <c r="E4" s="2" t="s">
        <v>64</v>
      </c>
      <c r="F4" s="2" t="s">
        <v>65</v>
      </c>
      <c r="G4" s="2" t="s">
        <v>66</v>
      </c>
      <c r="H4" s="2" t="s">
        <v>54</v>
      </c>
      <c r="I4" s="6" t="n">
        <v>12500</v>
      </c>
      <c r="J4" s="7" t="str">
        <f aca="false">B4&amp;" "&amp;C4</f>
        <v>Mercedes Sprinter</v>
      </c>
    </row>
    <row r="5" customFormat="false" ht="15" hidden="false" customHeight="false" outlineLevel="0" collapsed="false">
      <c r="A5" s="2" t="s">
        <v>67</v>
      </c>
      <c r="B5" s="2" t="s">
        <v>68</v>
      </c>
      <c r="C5" s="2" t="s">
        <v>69</v>
      </c>
      <c r="D5" s="2" t="n">
        <v>2021</v>
      </c>
      <c r="E5" s="2" t="s">
        <v>70</v>
      </c>
      <c r="F5" s="2" t="s">
        <v>71</v>
      </c>
      <c r="G5" s="2" t="s">
        <v>53</v>
      </c>
      <c r="H5" s="2" t="s">
        <v>54</v>
      </c>
      <c r="I5" s="6" t="n">
        <v>115000</v>
      </c>
      <c r="J5" s="7" t="str">
        <f aca="false">B5&amp;" "&amp;C5</f>
        <v>Isuzu D-Max</v>
      </c>
    </row>
    <row r="6" customFormat="false" ht="15" hidden="false" customHeight="false" outlineLevel="0" collapsed="false">
      <c r="A6" s="2" t="s">
        <v>72</v>
      </c>
      <c r="B6" s="2" t="s">
        <v>49</v>
      </c>
      <c r="C6" s="2" t="s">
        <v>73</v>
      </c>
      <c r="D6" s="2" t="n">
        <v>2023</v>
      </c>
      <c r="E6" s="2" t="s">
        <v>74</v>
      </c>
      <c r="F6" s="2" t="s">
        <v>75</v>
      </c>
      <c r="G6" s="2" t="s">
        <v>60</v>
      </c>
      <c r="H6" s="2" t="s">
        <v>76</v>
      </c>
      <c r="I6" s="6" t="n">
        <v>34200</v>
      </c>
      <c r="J6" s="7" t="str">
        <f aca="false">B6&amp;" "&amp;C6</f>
        <v>Toyota Hiace</v>
      </c>
    </row>
    <row r="7" customFormat="false" ht="15" hidden="false" customHeight="false" outlineLevel="0" collapsed="false">
      <c r="A7" s="2" t="s">
        <v>77</v>
      </c>
      <c r="B7" s="2" t="s">
        <v>78</v>
      </c>
      <c r="C7" s="2" t="s">
        <v>79</v>
      </c>
      <c r="D7" s="2" t="n">
        <v>2020</v>
      </c>
      <c r="E7" s="2" t="s">
        <v>80</v>
      </c>
      <c r="F7" s="2" t="s">
        <v>81</v>
      </c>
      <c r="G7" s="2" t="s">
        <v>53</v>
      </c>
      <c r="H7" s="2" t="s">
        <v>76</v>
      </c>
      <c r="I7" s="6" t="n">
        <v>140500</v>
      </c>
      <c r="J7" s="7" t="str">
        <f aca="false">B7&amp;" "&amp;C7</f>
        <v>Suzuki Bolan</v>
      </c>
    </row>
    <row r="8" customFormat="false" ht="15" hidden="false" customHeight="false" outlineLevel="0" collapsed="false">
      <c r="A8" s="2" t="s">
        <v>82</v>
      </c>
      <c r="B8" s="2" t="s">
        <v>83</v>
      </c>
      <c r="C8" s="2" t="s">
        <v>84</v>
      </c>
      <c r="D8" s="2" t="n">
        <v>2024</v>
      </c>
      <c r="E8" s="2" t="s">
        <v>85</v>
      </c>
      <c r="F8" s="2" t="s">
        <v>86</v>
      </c>
      <c r="G8" s="2" t="s">
        <v>66</v>
      </c>
      <c r="H8" s="2" t="s">
        <v>76</v>
      </c>
      <c r="I8" s="6" t="n">
        <v>8900</v>
      </c>
      <c r="J8" s="7" t="str">
        <f aca="false">B8&amp;" "&amp;C8</f>
        <v>Honda BR-V</v>
      </c>
    </row>
    <row r="9" customFormat="false" ht="15" hidden="false" customHeight="false" outlineLevel="0" collapsed="false">
      <c r="A9" s="2" t="s">
        <v>87</v>
      </c>
      <c r="B9" s="2" t="s">
        <v>88</v>
      </c>
      <c r="C9" s="2" t="s">
        <v>89</v>
      </c>
      <c r="D9" s="2" t="n">
        <v>2022</v>
      </c>
      <c r="E9" s="2" t="s">
        <v>90</v>
      </c>
      <c r="F9" s="2" t="s">
        <v>91</v>
      </c>
      <c r="G9" s="2" t="s">
        <v>60</v>
      </c>
      <c r="H9" s="2" t="s">
        <v>54</v>
      </c>
      <c r="I9" s="6" t="n">
        <v>67300</v>
      </c>
      <c r="J9" s="7" t="str">
        <f aca="false">B9&amp;" "&amp;C9</f>
        <v>Nissan Navara</v>
      </c>
    </row>
    <row r="10" customFormat="false" ht="15" hidden="false" customHeight="false" outlineLevel="0" collapsed="false">
      <c r="A10" s="2" t="s">
        <v>92</v>
      </c>
      <c r="B10" s="2" t="s">
        <v>93</v>
      </c>
      <c r="C10" s="2" t="s">
        <v>94</v>
      </c>
      <c r="D10" s="2" t="n">
        <v>2023</v>
      </c>
      <c r="E10" s="2" t="s">
        <v>95</v>
      </c>
      <c r="F10" s="2" t="s">
        <v>96</v>
      </c>
      <c r="G10" s="2" t="s">
        <v>53</v>
      </c>
      <c r="H10" s="2" t="s">
        <v>76</v>
      </c>
      <c r="I10" s="6" t="n">
        <v>22100</v>
      </c>
      <c r="J10" s="7" t="str">
        <f aca="false">B10&amp;" "&amp;C10</f>
        <v>Changan Karvaan</v>
      </c>
    </row>
    <row r="11" customFormat="false" ht="15" hidden="false" customHeight="false" outlineLevel="0" collapsed="false">
      <c r="A11" s="2" t="s">
        <v>97</v>
      </c>
      <c r="B11" s="2" t="s">
        <v>98</v>
      </c>
      <c r="C11" s="2" t="s">
        <v>99</v>
      </c>
      <c r="D11" s="2" t="n">
        <v>2021</v>
      </c>
      <c r="E11" s="2" t="s">
        <v>100</v>
      </c>
      <c r="F11" s="2" t="s">
        <v>101</v>
      </c>
      <c r="G11" s="2" t="s">
        <v>66</v>
      </c>
      <c r="H11" s="2" t="s">
        <v>76</v>
      </c>
      <c r="I11" s="6" t="n">
        <v>95000</v>
      </c>
      <c r="J11" s="7" t="str">
        <f aca="false">B11&amp;" "&amp;C11</f>
        <v>FAW X-PV</v>
      </c>
    </row>
  </sheetData>
  <autoFilter ref="A1:J11"/>
  <dataValidations count="2">
    <dataValidation allowBlank="false" errorStyle="stop" operator="between" showDropDown="false" showErrorMessage="false" showInputMessage="false" sqref="G2:G11" type="list">
      <formula1>"owner,leasing,rent"</formula1>
      <formula2>0</formula2>
    </dataValidation>
    <dataValidation allowBlank="false" errorStyle="stop" operator="between" showDropDown="false" showErrorMessage="false" showInputMessage="false" sqref="H2:H11" type="list">
      <formula1>"Diesel,Petrol"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21"/>
    <col collapsed="false" customWidth="true" hidden="false" outlineLevel="0" max="6" min="6" style="0" width="25"/>
  </cols>
  <sheetData>
    <row r="1" customFormat="false" ht="30" hidden="false" customHeight="true" outlineLevel="0" collapsed="false">
      <c r="A1" s="1" t="s">
        <v>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</row>
    <row r="2" customFormat="false" ht="15" hidden="false" customHeight="false" outlineLevel="0" collapsed="false">
      <c r="A2" s="2" t="s">
        <v>17</v>
      </c>
      <c r="B2" s="2" t="s">
        <v>107</v>
      </c>
      <c r="C2" s="2" t="s">
        <v>20</v>
      </c>
      <c r="D2" s="2" t="s">
        <v>108</v>
      </c>
      <c r="E2" s="8" t="n">
        <v>43966</v>
      </c>
      <c r="F2" s="2" t="s">
        <v>109</v>
      </c>
    </row>
    <row r="3" customFormat="false" ht="15" hidden="false" customHeight="false" outlineLevel="0" collapsed="false">
      <c r="A3" s="2" t="s">
        <v>21</v>
      </c>
      <c r="B3" s="2" t="s">
        <v>110</v>
      </c>
      <c r="C3" s="2" t="s">
        <v>24</v>
      </c>
      <c r="D3" s="2" t="s">
        <v>111</v>
      </c>
      <c r="E3" s="8" t="n">
        <v>44430</v>
      </c>
      <c r="F3" s="2" t="s">
        <v>109</v>
      </c>
    </row>
    <row r="4" customFormat="false" ht="15" hidden="false" customHeight="false" outlineLevel="0" collapsed="false">
      <c r="A4" s="2" t="s">
        <v>25</v>
      </c>
      <c r="B4" s="2" t="s">
        <v>112</v>
      </c>
      <c r="C4" s="2" t="s">
        <v>28</v>
      </c>
      <c r="D4" s="2" t="s">
        <v>108</v>
      </c>
      <c r="E4" s="8" t="n">
        <v>43779</v>
      </c>
      <c r="F4" s="2" t="s">
        <v>113</v>
      </c>
    </row>
    <row r="5" customFormat="false" ht="15" hidden="false" customHeight="false" outlineLevel="0" collapsed="false">
      <c r="A5" s="2" t="s">
        <v>29</v>
      </c>
      <c r="B5" s="2" t="s">
        <v>114</v>
      </c>
      <c r="C5" s="2" t="s">
        <v>32</v>
      </c>
      <c r="D5" s="2" t="s">
        <v>111</v>
      </c>
      <c r="E5" s="8" t="n">
        <v>44597</v>
      </c>
      <c r="F5" s="2" t="s">
        <v>109</v>
      </c>
    </row>
    <row r="6" customFormat="false" ht="15" hidden="false" customHeight="false" outlineLevel="0" collapsed="false">
      <c r="A6" s="2" t="s">
        <v>33</v>
      </c>
      <c r="B6" s="2" t="s">
        <v>115</v>
      </c>
      <c r="C6" s="2" t="s">
        <v>36</v>
      </c>
      <c r="D6" s="2" t="s">
        <v>108</v>
      </c>
      <c r="E6" s="8" t="n">
        <v>43373</v>
      </c>
      <c r="F6" s="2" t="s">
        <v>116</v>
      </c>
    </row>
    <row r="8" customFormat="false" ht="15" hidden="false" customHeight="false" outlineLevel="0" collapsed="false">
      <c r="A8" s="4" t="s">
        <v>117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1</v>
      </c>
      <c r="B1" s="1" t="s">
        <v>118</v>
      </c>
      <c r="C1" s="1" t="s">
        <v>119</v>
      </c>
      <c r="D1" s="1" t="s">
        <v>102</v>
      </c>
    </row>
    <row r="2" customFormat="false" ht="15" hidden="false" customHeight="false" outlineLevel="0" collapsed="false">
      <c r="A2" s="2" t="s">
        <v>120</v>
      </c>
      <c r="B2" s="2" t="s">
        <v>121</v>
      </c>
      <c r="C2" s="2" t="s">
        <v>122</v>
      </c>
      <c r="D2" s="2" t="s">
        <v>123</v>
      </c>
    </row>
    <row r="3" customFormat="false" ht="15" hidden="false" customHeight="false" outlineLevel="0" collapsed="false">
      <c r="A3" s="2" t="s">
        <v>124</v>
      </c>
      <c r="B3" s="2" t="s">
        <v>125</v>
      </c>
      <c r="C3" s="2" t="s">
        <v>126</v>
      </c>
      <c r="D3" s="2" t="s">
        <v>127</v>
      </c>
    </row>
    <row r="4" customFormat="false" ht="15" hidden="false" customHeight="false" outlineLevel="0" collapsed="false">
      <c r="A4" s="2" t="s">
        <v>128</v>
      </c>
      <c r="B4" s="2" t="s">
        <v>129</v>
      </c>
      <c r="C4" s="2" t="s">
        <v>130</v>
      </c>
      <c r="D4" s="2" t="s">
        <v>131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6" min="5" style="0" width="24"/>
  </cols>
  <sheetData>
    <row r="1" customFormat="false" ht="30" hidden="false" customHeight="true" outlineLevel="0" collapsed="false">
      <c r="A1" s="1" t="s">
        <v>132</v>
      </c>
      <c r="B1" s="1" t="s">
        <v>133</v>
      </c>
      <c r="C1" s="1" t="s">
        <v>134</v>
      </c>
      <c r="D1" s="1" t="s">
        <v>135</v>
      </c>
      <c r="E1" s="5" t="s">
        <v>136</v>
      </c>
      <c r="F1" s="5" t="s">
        <v>137</v>
      </c>
    </row>
    <row r="2" customFormat="false" ht="15" hidden="false" customHeight="false" outlineLevel="0" collapsed="false">
      <c r="A2" s="2" t="s">
        <v>48</v>
      </c>
      <c r="B2" s="2" t="s">
        <v>17</v>
      </c>
      <c r="C2" s="8" t="n">
        <v>46294</v>
      </c>
      <c r="D2" s="6" t="n">
        <v>45000</v>
      </c>
      <c r="E2" s="7" t="str">
        <f aca="false">INDEX(Vehicles!$J$2:$J$11,MATCH(A2,Vehicles!$A$2:$A$11,0))</f>
        <v>Toyota Hilux</v>
      </c>
      <c r="F2" s="7" t="str">
        <f aca="false">INDEX(Drivers!$C$2:$C$6,MATCH(B2,Drivers!$A$2:$A$6,0))</f>
        <v>DL-PK-1001</v>
      </c>
    </row>
    <row r="3" customFormat="false" ht="15" hidden="false" customHeight="false" outlineLevel="0" collapsed="false">
      <c r="A3" s="2" t="s">
        <v>55</v>
      </c>
      <c r="B3" s="2" t="s">
        <v>21</v>
      </c>
      <c r="C3" s="8" t="n">
        <v>46294</v>
      </c>
      <c r="D3" s="6" t="n">
        <v>82100</v>
      </c>
      <c r="E3" s="7" t="str">
        <f aca="false">INDEX(Vehicles!$J$2:$J$11,MATCH(A3,Vehicles!$A$2:$A$11,0))</f>
        <v>Ford Transit</v>
      </c>
      <c r="F3" s="7" t="str">
        <f aca="false">INDEX(Drivers!$C$2:$C$6,MATCH(B3,Drivers!$A$2:$A$6,0))</f>
        <v>DL-PK-1002</v>
      </c>
    </row>
    <row r="4" customFormat="false" ht="15" hidden="false" customHeight="false" outlineLevel="0" collapsed="false">
      <c r="A4" s="2" t="s">
        <v>61</v>
      </c>
      <c r="B4" s="2" t="s">
        <v>25</v>
      </c>
      <c r="C4" s="8" t="n">
        <v>46294</v>
      </c>
      <c r="D4" s="6" t="n">
        <v>12500</v>
      </c>
      <c r="E4" s="7" t="str">
        <f aca="false">INDEX(Vehicles!$J$2:$J$11,MATCH(A4,Vehicles!$A$2:$A$11,0))</f>
        <v>Mercedes Sprinter</v>
      </c>
      <c r="F4" s="7" t="str">
        <f aca="false">INDEX(Drivers!$C$2:$C$6,MATCH(B4,Drivers!$A$2:$A$6,0))</f>
        <v>DL-PK-1003</v>
      </c>
    </row>
  </sheetData>
  <autoFilter ref="A1:F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9" min="3" style="0" width="20"/>
  </cols>
  <sheetData>
    <row r="1" customFormat="false" ht="30" hidden="false" customHeight="true" outlineLevel="0" collapsed="false">
      <c r="A1" s="1" t="s">
        <v>132</v>
      </c>
      <c r="B1" s="1" t="s">
        <v>16</v>
      </c>
      <c r="C1" s="1" t="s">
        <v>138</v>
      </c>
      <c r="D1" s="1" t="s">
        <v>139</v>
      </c>
      <c r="E1" s="1" t="s">
        <v>135</v>
      </c>
      <c r="F1" s="1" t="s">
        <v>140</v>
      </c>
      <c r="G1" s="5" t="s">
        <v>141</v>
      </c>
      <c r="H1" s="5" t="s">
        <v>142</v>
      </c>
      <c r="I1" s="5" t="s">
        <v>143</v>
      </c>
    </row>
    <row r="2" customFormat="false" ht="15" hidden="false" customHeight="false" outlineLevel="0" collapsed="false">
      <c r="A2" s="2" t="s">
        <v>48</v>
      </c>
      <c r="B2" s="2" t="s">
        <v>17</v>
      </c>
      <c r="C2" s="9" t="n">
        <v>46294.3333333333</v>
      </c>
      <c r="D2" s="9" t="n">
        <v>46294.4791666667</v>
      </c>
      <c r="E2" s="6" t="n">
        <v>45000</v>
      </c>
      <c r="F2" s="6" t="n">
        <v>45250</v>
      </c>
      <c r="G2" s="7" t="str">
        <f aca="false">INDEX(Vehicles!$J$2:$J$11,MATCH(A2,Vehicles!$A$2:$A$11,0))</f>
        <v>Toyota Hilux</v>
      </c>
      <c r="H2" s="10" t="n">
        <f aca="false">F2-E2</f>
        <v>250</v>
      </c>
      <c r="I2" s="11" t="n">
        <f aca="false">(D2-C2)*24</f>
        <v>3.49999999953417</v>
      </c>
    </row>
  </sheetData>
  <autoFilter ref="A1:I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9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1" t="s">
        <v>132</v>
      </c>
      <c r="B1" s="1" t="s">
        <v>16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5" t="s">
        <v>151</v>
      </c>
    </row>
    <row r="2" customFormat="false" ht="15" hidden="false" customHeight="false" outlineLevel="0" collapsed="false">
      <c r="A2" s="2" t="s">
        <v>48</v>
      </c>
      <c r="B2" s="2" t="s">
        <v>17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12" t="n">
        <v>45</v>
      </c>
      <c r="I2" s="6" t="n">
        <v>12600</v>
      </c>
      <c r="J2" s="13" t="n">
        <f aca="false">IF(H2&gt;0,I2/H2,0)</f>
        <v>280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48"/>
    <col collapsed="false" customWidth="true" hidden="false" outlineLevel="0" max="7" min="7" style="0" width="13"/>
  </cols>
  <sheetData>
    <row r="1" customFormat="false" ht="30" hidden="false" customHeight="true" outlineLevel="0" collapsed="false">
      <c r="A1" s="1" t="s">
        <v>132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</row>
    <row r="2" customFormat="false" ht="15" hidden="false" customHeight="false" outlineLevel="0" collapsed="false">
      <c r="A2" s="2" t="s">
        <v>55</v>
      </c>
      <c r="B2" s="8" t="n">
        <v>46294</v>
      </c>
      <c r="C2" s="2" t="s">
        <v>21</v>
      </c>
      <c r="D2" s="2" t="s">
        <v>120</v>
      </c>
      <c r="E2" s="2" t="s">
        <v>163</v>
      </c>
      <c r="F2" s="2" t="s">
        <v>164</v>
      </c>
      <c r="G2" s="6" t="n">
        <v>25000</v>
      </c>
    </row>
    <row r="4" customFormat="false" ht="15" hidden="false" customHeight="false" outlineLevel="0" collapsed="false">
      <c r="A4" s="4" t="s">
        <v>165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0"/>
  </cols>
  <sheetData>
    <row r="1" customFormat="false" ht="30" hidden="false" customHeight="true" outlineLevel="0" collapsed="false">
      <c r="A1" s="1" t="s">
        <v>132</v>
      </c>
      <c r="B1" s="1" t="s">
        <v>16</v>
      </c>
      <c r="C1" s="1" t="s">
        <v>157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customFormat="false" ht="15" hidden="false" customHeight="false" outlineLevel="0" collapsed="false">
      <c r="A2" s="2" t="s">
        <v>55</v>
      </c>
      <c r="B2" s="2" t="s">
        <v>21</v>
      </c>
      <c r="C2" s="8" t="n">
        <v>46294</v>
      </c>
      <c r="D2" s="14" t="n">
        <v>0.59375</v>
      </c>
      <c r="E2" s="2" t="s">
        <v>172</v>
      </c>
      <c r="F2" s="2" t="s">
        <v>173</v>
      </c>
      <c r="G2" s="2" t="s">
        <v>174</v>
      </c>
      <c r="H2" s="2" t="s">
        <v>175</v>
      </c>
      <c r="I2" s="2" t="s">
        <v>176</v>
      </c>
    </row>
    <row r="4" customFormat="false" ht="15" hidden="false" customHeight="false" outlineLevel="0" collapsed="false">
      <c r="A4" s="4" t="s">
        <v>177</v>
      </c>
    </row>
  </sheetData>
  <autoFilter ref="A1:I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2026-09-29T18:29:19Z</dcterms:created>
  <dc:creator>openpyxl</dc:creator>
  <dc:description/>
  <dc:language>en-US</dc:language>
  <cp:lastModifiedBy/>
  <dcterms:modified xsi:type="dcterms:W3CDTF">2026-09-29T18:29:19Z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